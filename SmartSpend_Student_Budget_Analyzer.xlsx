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ZA\Downloads\"/>
    </mc:Choice>
  </mc:AlternateContent>
  <xr:revisionPtr revIDLastSave="0" documentId="8_{9DD84187-734D-4AD9-9A36-4A399F44BD50}" xr6:coauthVersionLast="47" xr6:coauthVersionMax="47" xr10:uidLastSave="{00000000-0000-0000-0000-000000000000}"/>
  <bookViews>
    <workbookView xWindow="-108" yWindow="-108" windowWidth="23256" windowHeight="12456" activeTab="1" xr2:uid="{C9E8C4EA-3CD2-44B9-8DCA-F758F156FF09}"/>
  </bookViews>
  <sheets>
    <sheet name="Expense Tracker" sheetId="1" r:id="rId1"/>
    <sheet name="Summary" sheetId="2" r:id="rId2"/>
    <sheet name="Bud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2" l="1"/>
  <c r="E2" i="3"/>
  <c r="E3" i="3"/>
  <c r="E4" i="3"/>
  <c r="E5" i="3"/>
  <c r="E6" i="3"/>
  <c r="E7" i="3"/>
  <c r="E8" i="3"/>
  <c r="E9" i="3"/>
  <c r="E10" i="3"/>
  <c r="C3" i="3"/>
  <c r="C4" i="3"/>
  <c r="D4" i="3" s="1"/>
  <c r="C5" i="3"/>
  <c r="C6" i="3"/>
  <c r="D6" i="3" s="1"/>
  <c r="C7" i="3"/>
  <c r="C8" i="3"/>
  <c r="D8" i="3" s="1"/>
  <c r="C9" i="3"/>
  <c r="D9" i="3" s="1"/>
  <c r="C10" i="3"/>
  <c r="D10" i="3" s="1"/>
  <c r="D3" i="3"/>
  <c r="D5" i="3"/>
  <c r="D7" i="3"/>
  <c r="C2" i="3"/>
  <c r="D2" i="3" s="1"/>
  <c r="B9" i="2"/>
  <c r="B10" i="2"/>
  <c r="B11" i="2"/>
  <c r="B12" i="2"/>
  <c r="B13" i="2"/>
  <c r="B14" i="2"/>
  <c r="B15" i="2"/>
  <c r="B16" i="2"/>
  <c r="B17" i="2"/>
  <c r="B6" i="2"/>
  <c r="B4" i="2"/>
  <c r="B5" i="2" s="1"/>
  <c r="B3" i="2"/>
</calcChain>
</file>

<file path=xl/sharedStrings.xml><?xml version="1.0" encoding="utf-8"?>
<sst xmlns="http://schemas.openxmlformats.org/spreadsheetml/2006/main" count="174" uniqueCount="63">
  <si>
    <t>DATE</t>
  </si>
  <si>
    <t>DESCRIPTION</t>
  </si>
  <si>
    <t>CATEGORY</t>
  </si>
  <si>
    <t>TYPE</t>
  </si>
  <si>
    <t>AMOUNT</t>
  </si>
  <si>
    <t>PAYMENT METHOD</t>
  </si>
  <si>
    <t>Monthly allowance</t>
  </si>
  <si>
    <t>Income</t>
  </si>
  <si>
    <t>Bank</t>
  </si>
  <si>
    <t>Hostel fee</t>
  </si>
  <si>
    <t>Accommodation</t>
  </si>
  <si>
    <t>Expense</t>
  </si>
  <si>
    <t>Snacks</t>
  </si>
  <si>
    <t>Food</t>
  </si>
  <si>
    <t>UPI</t>
  </si>
  <si>
    <t>Bus fare</t>
  </si>
  <si>
    <t>Transport</t>
  </si>
  <si>
    <t>Breakfast</t>
  </si>
  <si>
    <t>Mobile recharge</t>
  </si>
  <si>
    <t>Mobile &amp; Internet</t>
  </si>
  <si>
    <t>Lunch</t>
  </si>
  <si>
    <t>Notebook and pens</t>
  </si>
  <si>
    <t>Education</t>
  </si>
  <si>
    <t>Cash</t>
  </si>
  <si>
    <t>Evening snacks</t>
  </si>
  <si>
    <t>Laundry</t>
  </si>
  <si>
    <t>Personal Care</t>
  </si>
  <si>
    <t>Movie ticket</t>
  </si>
  <si>
    <t>Entertainment</t>
  </si>
  <si>
    <t>Printing notes</t>
  </si>
  <si>
    <t>Family allowance</t>
  </si>
  <si>
    <t>Auto fare</t>
  </si>
  <si>
    <t>Groceries</t>
  </si>
  <si>
    <t>Toiletries</t>
  </si>
  <si>
    <t>Hostel electricity share</t>
  </si>
  <si>
    <t>Coffee</t>
  </si>
  <si>
    <t>Online course</t>
  </si>
  <si>
    <t>Bus pass</t>
  </si>
  <si>
    <t>Dinner</t>
  </si>
  <si>
    <t>T-shirt</t>
  </si>
  <si>
    <t>Shopping</t>
  </si>
  <si>
    <t>Part-time income</t>
  </si>
  <si>
    <t>Internet bill</t>
  </si>
  <si>
    <t>Birthday outing</t>
  </si>
  <si>
    <t>Medicine</t>
  </si>
  <si>
    <t>Health</t>
  </si>
  <si>
    <t>Haircut</t>
  </si>
  <si>
    <t>Study material</t>
  </si>
  <si>
    <t>Cab fare</t>
  </si>
  <si>
    <t>SMARTSPEND — STUDENT BUDGET DASHBOARD</t>
  </si>
  <si>
    <t>Total Income</t>
  </si>
  <si>
    <t>Total Expenses</t>
  </si>
  <si>
    <t>Remaining Balance</t>
  </si>
  <si>
    <t>Savings Rate</t>
  </si>
  <si>
    <t>Expense Category</t>
  </si>
  <si>
    <t>Total Spent</t>
  </si>
  <si>
    <t>MONTHLY BUDGET (₹)</t>
  </si>
  <si>
    <t>Accomodation</t>
  </si>
  <si>
    <t>ACTUAL SPENDING</t>
  </si>
  <si>
    <t xml:space="preserve">BUDGET STATUS </t>
  </si>
  <si>
    <t>Remaining Budget (₹)</t>
  </si>
  <si>
    <t>Monthly Savings Goal</t>
  </si>
  <si>
    <t>Goal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</si>
</sst>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₹-43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168" fontId="0" fillId="0" borderId="0" xfId="0" applyNumberFormat="1"/>
    <xf numFmtId="0" fontId="0" fillId="0" borderId="1" xfId="0" applyBorder="1"/>
    <xf numFmtId="168" fontId="0" fillId="0" borderId="1" xfId="0" applyNumberFormat="1" applyBorder="1"/>
    <xf numFmtId="0" fontId="1" fillId="0" borderId="1" xfId="0" applyFont="1" applyBorder="1"/>
    <xf numFmtId="0" fontId="2" fillId="2" borderId="0" xfId="0" applyFont="1" applyFill="1" applyAlignment="1">
      <alignment horizontal="center"/>
    </xf>
    <xf numFmtId="10" fontId="1" fillId="0" borderId="1" xfId="0" applyNumberFormat="1" applyFont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8" formatCode="[$₹-439]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₹-439]#,##0.00"/>
    </dxf>
    <dxf>
      <numFmt numFmtId="168" formatCode="[$₹-43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Student Spending Breakdown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777878339920153"/>
          <c:y val="0.11943494563179602"/>
          <c:w val="0.41532843595699964"/>
          <c:h val="0.61943269591301087"/>
        </c:manualLayout>
      </c:layout>
      <c:doughnutChart>
        <c:varyColors val="1"/>
        <c:ser>
          <c:idx val="0"/>
          <c:order val="0"/>
          <c:tx>
            <c:strRef>
              <c:f>Summary!$B$8</c:f>
              <c:strCache>
                <c:ptCount val="1"/>
                <c:pt idx="0">
                  <c:v>Total 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Summary!$A$9:$A$17</c:f>
              <c:strCache>
                <c:ptCount val="9"/>
                <c:pt idx="0">
                  <c:v>Food</c:v>
                </c:pt>
                <c:pt idx="1">
                  <c:v>Accommodation</c:v>
                </c:pt>
                <c:pt idx="2">
                  <c:v>Transport</c:v>
                </c:pt>
                <c:pt idx="3">
                  <c:v>Education</c:v>
                </c:pt>
                <c:pt idx="4">
                  <c:v>Mobile &amp; Internet</c:v>
                </c:pt>
                <c:pt idx="5">
                  <c:v>Entertainment</c:v>
                </c:pt>
                <c:pt idx="6">
                  <c:v>Personal Care</c:v>
                </c:pt>
                <c:pt idx="7">
                  <c:v>Shopping</c:v>
                </c:pt>
                <c:pt idx="8">
                  <c:v>Health</c:v>
                </c:pt>
              </c:strCache>
            </c:strRef>
          </c:cat>
          <c:val>
            <c:numRef>
              <c:f>Summary!$B$9:$B$17</c:f>
              <c:numCache>
                <c:formatCode>[$₹-439]#,##0.00</c:formatCode>
                <c:ptCount val="9"/>
                <c:pt idx="0">
                  <c:v>1225</c:v>
                </c:pt>
                <c:pt idx="1">
                  <c:v>6250</c:v>
                </c:pt>
                <c:pt idx="2">
                  <c:v>770</c:v>
                </c:pt>
                <c:pt idx="3">
                  <c:v>969</c:v>
                </c:pt>
                <c:pt idx="4">
                  <c:v>498</c:v>
                </c:pt>
                <c:pt idx="5">
                  <c:v>700</c:v>
                </c:pt>
                <c:pt idx="6">
                  <c:v>430</c:v>
                </c:pt>
                <c:pt idx="7">
                  <c:v>599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E-4CB8-9FFC-B38F3DD6B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Expense Comparison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805402449693788"/>
          <c:y val="0.19486111111111112"/>
          <c:w val="0.69467519685039369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Summary!$A$9:$A$17</c:f>
              <c:strCache>
                <c:ptCount val="9"/>
                <c:pt idx="0">
                  <c:v>Food</c:v>
                </c:pt>
                <c:pt idx="1">
                  <c:v>Accommodation</c:v>
                </c:pt>
                <c:pt idx="2">
                  <c:v>Transport</c:v>
                </c:pt>
                <c:pt idx="3">
                  <c:v>Education</c:v>
                </c:pt>
                <c:pt idx="4">
                  <c:v>Mobile &amp; Internet</c:v>
                </c:pt>
                <c:pt idx="5">
                  <c:v>Entertainment</c:v>
                </c:pt>
                <c:pt idx="6">
                  <c:v>Personal Care</c:v>
                </c:pt>
                <c:pt idx="7">
                  <c:v>Shopping</c:v>
                </c:pt>
                <c:pt idx="8">
                  <c:v>Health</c:v>
                </c:pt>
              </c:strCache>
            </c:strRef>
          </c:cat>
          <c:val>
            <c:numRef>
              <c:f>Summary!$B$9:$B$17</c:f>
              <c:numCache>
                <c:formatCode>[$₹-439]#,##0.00</c:formatCode>
                <c:ptCount val="9"/>
                <c:pt idx="0">
                  <c:v>1225</c:v>
                </c:pt>
                <c:pt idx="1">
                  <c:v>6250</c:v>
                </c:pt>
                <c:pt idx="2">
                  <c:v>770</c:v>
                </c:pt>
                <c:pt idx="3">
                  <c:v>969</c:v>
                </c:pt>
                <c:pt idx="4">
                  <c:v>498</c:v>
                </c:pt>
                <c:pt idx="5">
                  <c:v>700</c:v>
                </c:pt>
                <c:pt idx="6">
                  <c:v>430</c:v>
                </c:pt>
                <c:pt idx="7">
                  <c:v>599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4-4376-80B8-87FF138F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3128192"/>
        <c:axId val="1133121952"/>
      </c:barChart>
      <c:catAx>
        <c:axId val="113312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21952"/>
        <c:crosses val="autoZero"/>
        <c:auto val="1"/>
        <c:lblAlgn val="ctr"/>
        <c:lblOffset val="100"/>
        <c:noMultiLvlLbl val="0"/>
      </c:catAx>
      <c:valAx>
        <c:axId val="11331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2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7</xdr:row>
      <xdr:rowOff>15240</xdr:rowOff>
    </xdr:from>
    <xdr:to>
      <xdr:col>9</xdr:col>
      <xdr:colOff>312420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2108F-CBD4-F85C-DC37-9A89A1E6D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358140</xdr:colOff>
      <xdr:row>7</xdr:row>
      <xdr:rowOff>3810</xdr:rowOff>
    </xdr:from>
    <xdr:to>
      <xdr:col>18</xdr:col>
      <xdr:colOff>335280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1FC77-62AA-629C-A7D0-63BCFCFF0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76AA9-A623-44FB-9413-8831C16DF4AD}" name="Table1" displayName="Table1" ref="A1:E10" totalsRowShown="0">
  <autoFilter ref="A1:E10" xr:uid="{7D776AA9-A623-44FB-9413-8831C16DF4AD}"/>
  <tableColumns count="5">
    <tableColumn id="1" xr3:uid="{A0A55863-B7CF-41B8-AE62-316E80EC11A7}" name="CATEGORY"/>
    <tableColumn id="2" xr3:uid="{C28C0C9A-7785-4440-9179-0B215A73B2CB}" name="MONTHLY BUDGET (₹)" dataDxfId="14"/>
    <tableColumn id="3" xr3:uid="{BB034BD4-A80F-4924-8BDA-AB7A038FD802}" name="ACTUAL SPENDING" dataDxfId="13">
      <calculatedColumnFormula>SUMIFS('Expense Tracker'!E:E,'Expense Tracker'!C:C,A2,'Expense Tracker'!D:D,"Expense")</calculatedColumnFormula>
    </tableColumn>
    <tableColumn id="4" xr3:uid="{0EE6044C-7958-48CB-BC8E-C4407CDAB79D}" name="BUDGET STATUS ">
      <calculatedColumnFormula>IF(C2&gt;B2,"OVER BUDGET",IF(C2=B2,"BUDGET USED","WITHIN BUDGET"))</calculatedColumnFormula>
    </tableColumn>
    <tableColumn id="5" xr3:uid="{1101EBAC-CD5A-41E2-94E3-66A58683D223}" name="Remaining Budget (₹)" dataDxfId="9">
      <calculatedColumnFormula>B2-C2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8D91-C5FD-44B1-94D5-7A5D96052840}">
  <dimension ref="A1:F35"/>
  <sheetViews>
    <sheetView workbookViewId="0">
      <selection activeCell="F11" sqref="F11"/>
    </sheetView>
  </sheetViews>
  <sheetFormatPr defaultRowHeight="14.4" x14ac:dyDescent="0.3"/>
  <cols>
    <col min="1" max="1" width="12.77734375" customWidth="1"/>
    <col min="2" max="2" width="19.21875" customWidth="1"/>
    <col min="3" max="3" width="19.109375" customWidth="1"/>
    <col min="6" max="6" width="1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46296</v>
      </c>
      <c r="B2" t="s">
        <v>6</v>
      </c>
      <c r="C2" t="s">
        <v>7</v>
      </c>
      <c r="D2" t="s">
        <v>7</v>
      </c>
      <c r="E2">
        <v>12000</v>
      </c>
      <c r="F2" t="s">
        <v>8</v>
      </c>
    </row>
    <row r="3" spans="1:6" x14ac:dyDescent="0.3">
      <c r="A3" s="1">
        <v>46297</v>
      </c>
      <c r="B3" t="s">
        <v>9</v>
      </c>
      <c r="C3" t="s">
        <v>10</v>
      </c>
      <c r="D3" t="s">
        <v>11</v>
      </c>
      <c r="E3">
        <v>6000</v>
      </c>
      <c r="F3" t="s">
        <v>8</v>
      </c>
    </row>
    <row r="4" spans="1:6" x14ac:dyDescent="0.3">
      <c r="A4" s="1">
        <v>46298</v>
      </c>
      <c r="B4" t="s">
        <v>12</v>
      </c>
      <c r="C4" t="s">
        <v>13</v>
      </c>
      <c r="D4" t="s">
        <v>11</v>
      </c>
      <c r="E4">
        <v>100</v>
      </c>
      <c r="F4" t="s">
        <v>14</v>
      </c>
    </row>
    <row r="5" spans="1:6" x14ac:dyDescent="0.3">
      <c r="A5" s="1">
        <v>46299</v>
      </c>
      <c r="B5" t="s">
        <v>15</v>
      </c>
      <c r="C5" t="s">
        <v>16</v>
      </c>
      <c r="D5" t="s">
        <v>11</v>
      </c>
      <c r="E5">
        <v>50</v>
      </c>
      <c r="F5" t="s">
        <v>14</v>
      </c>
    </row>
    <row r="6" spans="1:6" x14ac:dyDescent="0.3">
      <c r="A6" s="1">
        <v>46300</v>
      </c>
      <c r="B6" t="s">
        <v>17</v>
      </c>
      <c r="C6" t="s">
        <v>13</v>
      </c>
      <c r="D6" t="s">
        <v>11</v>
      </c>
      <c r="E6">
        <v>60</v>
      </c>
      <c r="F6" t="s">
        <v>14</v>
      </c>
    </row>
    <row r="7" spans="1:6" x14ac:dyDescent="0.3">
      <c r="A7" s="1">
        <v>46300</v>
      </c>
      <c r="B7" t="s">
        <v>18</v>
      </c>
      <c r="C7" t="s">
        <v>19</v>
      </c>
      <c r="D7" t="s">
        <v>11</v>
      </c>
      <c r="E7">
        <v>299</v>
      </c>
      <c r="F7" t="s">
        <v>14</v>
      </c>
    </row>
    <row r="8" spans="1:6" x14ac:dyDescent="0.3">
      <c r="A8" s="1">
        <v>46301</v>
      </c>
      <c r="B8" t="s">
        <v>20</v>
      </c>
      <c r="C8" t="s">
        <v>13</v>
      </c>
      <c r="D8" t="s">
        <v>11</v>
      </c>
      <c r="E8">
        <v>100</v>
      </c>
      <c r="F8" t="s">
        <v>14</v>
      </c>
    </row>
    <row r="9" spans="1:6" x14ac:dyDescent="0.3">
      <c r="A9" s="1">
        <v>46301</v>
      </c>
      <c r="B9" t="s">
        <v>21</v>
      </c>
      <c r="C9" t="s">
        <v>22</v>
      </c>
      <c r="D9" t="s">
        <v>11</v>
      </c>
      <c r="E9">
        <v>180</v>
      </c>
      <c r="F9" t="s">
        <v>23</v>
      </c>
    </row>
    <row r="10" spans="1:6" x14ac:dyDescent="0.3">
      <c r="A10" s="1">
        <v>46302</v>
      </c>
      <c r="B10" t="s">
        <v>15</v>
      </c>
      <c r="C10" t="s">
        <v>16</v>
      </c>
      <c r="D10" t="s">
        <v>11</v>
      </c>
      <c r="E10">
        <v>50</v>
      </c>
      <c r="F10" t="s">
        <v>14</v>
      </c>
    </row>
    <row r="11" spans="1:6" x14ac:dyDescent="0.3">
      <c r="A11" s="1">
        <v>46302</v>
      </c>
      <c r="B11" t="s">
        <v>24</v>
      </c>
      <c r="C11" t="s">
        <v>13</v>
      </c>
      <c r="D11" t="s">
        <v>11</v>
      </c>
      <c r="E11">
        <v>80</v>
      </c>
      <c r="F11" t="s">
        <v>23</v>
      </c>
    </row>
    <row r="12" spans="1:6" x14ac:dyDescent="0.3">
      <c r="A12" s="1">
        <v>46303</v>
      </c>
      <c r="B12" t="s">
        <v>25</v>
      </c>
      <c r="C12" t="s">
        <v>26</v>
      </c>
      <c r="D12" t="s">
        <v>11</v>
      </c>
      <c r="E12">
        <v>120</v>
      </c>
      <c r="F12" t="s">
        <v>14</v>
      </c>
    </row>
    <row r="13" spans="1:6" x14ac:dyDescent="0.3">
      <c r="A13" s="1">
        <v>46303</v>
      </c>
      <c r="B13" t="s">
        <v>27</v>
      </c>
      <c r="C13" t="s">
        <v>28</v>
      </c>
      <c r="D13" t="s">
        <v>11</v>
      </c>
      <c r="E13">
        <v>250</v>
      </c>
      <c r="F13" t="s">
        <v>14</v>
      </c>
    </row>
    <row r="14" spans="1:6" x14ac:dyDescent="0.3">
      <c r="A14" s="1">
        <v>46304</v>
      </c>
      <c r="B14" t="s">
        <v>20</v>
      </c>
      <c r="C14" t="s">
        <v>13</v>
      </c>
      <c r="D14" t="s">
        <v>11</v>
      </c>
      <c r="E14">
        <v>110</v>
      </c>
      <c r="F14" t="s">
        <v>14</v>
      </c>
    </row>
    <row r="15" spans="1:6" x14ac:dyDescent="0.3">
      <c r="A15" s="1">
        <v>46304</v>
      </c>
      <c r="B15" t="s">
        <v>29</v>
      </c>
      <c r="C15" t="s">
        <v>22</v>
      </c>
      <c r="D15" t="s">
        <v>11</v>
      </c>
      <c r="E15">
        <v>70</v>
      </c>
      <c r="F15" t="s">
        <v>23</v>
      </c>
    </row>
    <row r="16" spans="1:6" x14ac:dyDescent="0.3">
      <c r="A16" s="1">
        <v>46305</v>
      </c>
      <c r="B16" t="s">
        <v>30</v>
      </c>
      <c r="C16" t="s">
        <v>7</v>
      </c>
      <c r="D16" t="s">
        <v>7</v>
      </c>
      <c r="E16">
        <v>2000</v>
      </c>
      <c r="F16" t="s">
        <v>8</v>
      </c>
    </row>
    <row r="17" spans="1:6" x14ac:dyDescent="0.3">
      <c r="A17" s="1">
        <v>46305</v>
      </c>
      <c r="B17" t="s">
        <v>31</v>
      </c>
      <c r="C17" t="s">
        <v>16</v>
      </c>
      <c r="D17" t="s">
        <v>11</v>
      </c>
      <c r="E17">
        <v>90</v>
      </c>
      <c r="F17" t="s">
        <v>14</v>
      </c>
    </row>
    <row r="18" spans="1:6" x14ac:dyDescent="0.3">
      <c r="A18" s="1">
        <v>46306</v>
      </c>
      <c r="B18" t="s">
        <v>32</v>
      </c>
      <c r="C18" t="s">
        <v>13</v>
      </c>
      <c r="D18" t="s">
        <v>11</v>
      </c>
      <c r="E18">
        <v>350</v>
      </c>
      <c r="F18" t="s">
        <v>14</v>
      </c>
    </row>
    <row r="19" spans="1:6" x14ac:dyDescent="0.3">
      <c r="A19" s="1">
        <v>46306</v>
      </c>
      <c r="B19" t="s">
        <v>33</v>
      </c>
      <c r="C19" t="s">
        <v>26</v>
      </c>
      <c r="D19" t="s">
        <v>11</v>
      </c>
      <c r="E19">
        <v>160</v>
      </c>
      <c r="F19" t="s">
        <v>14</v>
      </c>
    </row>
    <row r="20" spans="1:6" x14ac:dyDescent="0.3">
      <c r="A20" s="1">
        <v>46307</v>
      </c>
      <c r="B20" t="s">
        <v>34</v>
      </c>
      <c r="C20" t="s">
        <v>10</v>
      </c>
      <c r="D20" t="s">
        <v>11</v>
      </c>
      <c r="E20">
        <v>250</v>
      </c>
      <c r="F20" t="s">
        <v>14</v>
      </c>
    </row>
    <row r="21" spans="1:6" x14ac:dyDescent="0.3">
      <c r="A21" s="1">
        <v>46307</v>
      </c>
      <c r="B21" t="s">
        <v>35</v>
      </c>
      <c r="C21" t="s">
        <v>13</v>
      </c>
      <c r="D21" t="s">
        <v>11</v>
      </c>
      <c r="E21">
        <v>90</v>
      </c>
      <c r="F21" t="s">
        <v>23</v>
      </c>
    </row>
    <row r="22" spans="1:6" x14ac:dyDescent="0.3">
      <c r="A22" s="1">
        <v>46308</v>
      </c>
      <c r="B22" t="s">
        <v>36</v>
      </c>
      <c r="C22" t="s">
        <v>22</v>
      </c>
      <c r="D22" t="s">
        <v>11</v>
      </c>
      <c r="E22">
        <v>499</v>
      </c>
      <c r="F22" t="s">
        <v>8</v>
      </c>
    </row>
    <row r="23" spans="1:6" x14ac:dyDescent="0.3">
      <c r="A23" s="1">
        <v>46308</v>
      </c>
      <c r="B23" t="s">
        <v>37</v>
      </c>
      <c r="C23" t="s">
        <v>16</v>
      </c>
      <c r="D23" t="s">
        <v>11</v>
      </c>
      <c r="E23">
        <v>400</v>
      </c>
      <c r="F23" t="s">
        <v>14</v>
      </c>
    </row>
    <row r="24" spans="1:6" x14ac:dyDescent="0.3">
      <c r="A24" s="1">
        <v>46309</v>
      </c>
      <c r="B24" t="s">
        <v>38</v>
      </c>
      <c r="C24" t="s">
        <v>13</v>
      </c>
      <c r="D24" t="s">
        <v>11</v>
      </c>
      <c r="E24">
        <v>140</v>
      </c>
      <c r="F24" t="s">
        <v>14</v>
      </c>
    </row>
    <row r="25" spans="1:6" x14ac:dyDescent="0.3">
      <c r="A25" s="1">
        <v>46309</v>
      </c>
      <c r="B25" t="s">
        <v>39</v>
      </c>
      <c r="C25" t="s">
        <v>40</v>
      </c>
      <c r="D25" t="s">
        <v>11</v>
      </c>
      <c r="E25">
        <v>599</v>
      </c>
      <c r="F25" t="s">
        <v>14</v>
      </c>
    </row>
    <row r="26" spans="1:6" x14ac:dyDescent="0.3">
      <c r="A26" s="1">
        <v>46310</v>
      </c>
      <c r="B26" t="s">
        <v>41</v>
      </c>
      <c r="C26" t="s">
        <v>7</v>
      </c>
      <c r="D26" t="s">
        <v>7</v>
      </c>
      <c r="E26">
        <v>1500</v>
      </c>
      <c r="F26" t="s">
        <v>8</v>
      </c>
    </row>
    <row r="27" spans="1:6" x14ac:dyDescent="0.3">
      <c r="A27" s="1">
        <v>46310</v>
      </c>
      <c r="B27" t="s">
        <v>12</v>
      </c>
      <c r="C27" t="s">
        <v>13</v>
      </c>
      <c r="D27" t="s">
        <v>11</v>
      </c>
      <c r="E27">
        <v>75</v>
      </c>
      <c r="F27" t="s">
        <v>23</v>
      </c>
    </row>
    <row r="28" spans="1:6" x14ac:dyDescent="0.3">
      <c r="A28" s="1">
        <v>46311</v>
      </c>
      <c r="B28" t="s">
        <v>42</v>
      </c>
      <c r="C28" t="s">
        <v>19</v>
      </c>
      <c r="D28" t="s">
        <v>11</v>
      </c>
      <c r="E28">
        <v>199</v>
      </c>
      <c r="F28" t="s">
        <v>14</v>
      </c>
    </row>
    <row r="29" spans="1:6" x14ac:dyDescent="0.3">
      <c r="A29" s="1">
        <v>46312</v>
      </c>
      <c r="B29" t="s">
        <v>43</v>
      </c>
      <c r="C29" t="s">
        <v>28</v>
      </c>
      <c r="D29" t="s">
        <v>11</v>
      </c>
      <c r="E29">
        <v>450</v>
      </c>
      <c r="F29" t="s">
        <v>14</v>
      </c>
    </row>
    <row r="30" spans="1:6" x14ac:dyDescent="0.3">
      <c r="A30" s="1">
        <v>46313</v>
      </c>
      <c r="B30" t="s">
        <v>44</v>
      </c>
      <c r="C30" t="s">
        <v>45</v>
      </c>
      <c r="D30" t="s">
        <v>11</v>
      </c>
      <c r="E30">
        <v>180</v>
      </c>
      <c r="F30" t="s">
        <v>14</v>
      </c>
    </row>
    <row r="31" spans="1:6" x14ac:dyDescent="0.3">
      <c r="A31" s="1">
        <v>46314</v>
      </c>
      <c r="B31" t="s">
        <v>20</v>
      </c>
      <c r="C31" t="s">
        <v>13</v>
      </c>
      <c r="D31" t="s">
        <v>11</v>
      </c>
      <c r="E31">
        <v>120</v>
      </c>
      <c r="F31" t="s">
        <v>14</v>
      </c>
    </row>
    <row r="32" spans="1:6" x14ac:dyDescent="0.3">
      <c r="A32" s="1">
        <v>46315</v>
      </c>
      <c r="B32" t="s">
        <v>46</v>
      </c>
      <c r="C32" t="s">
        <v>26</v>
      </c>
      <c r="D32" t="s">
        <v>11</v>
      </c>
      <c r="E32">
        <v>150</v>
      </c>
      <c r="F32" t="s">
        <v>23</v>
      </c>
    </row>
    <row r="33" spans="1:6" x14ac:dyDescent="0.3">
      <c r="A33" s="1">
        <v>46316</v>
      </c>
      <c r="B33" t="s">
        <v>47</v>
      </c>
      <c r="C33" t="s">
        <v>22</v>
      </c>
      <c r="D33" t="s">
        <v>11</v>
      </c>
      <c r="E33">
        <v>220</v>
      </c>
      <c r="F33" t="s">
        <v>14</v>
      </c>
    </row>
    <row r="34" spans="1:6" x14ac:dyDescent="0.3">
      <c r="A34" s="1">
        <v>46317</v>
      </c>
      <c r="B34" t="s">
        <v>48</v>
      </c>
      <c r="C34" t="s">
        <v>16</v>
      </c>
      <c r="D34" t="s">
        <v>11</v>
      </c>
      <c r="E34">
        <v>180</v>
      </c>
      <c r="F34" t="s">
        <v>14</v>
      </c>
    </row>
    <row r="35" spans="1:6" x14ac:dyDescent="0.3">
      <c r="A35" s="1">
        <v>46318</v>
      </c>
      <c r="B35" t="s">
        <v>6</v>
      </c>
      <c r="C35" t="s">
        <v>7</v>
      </c>
      <c r="D35" t="s">
        <v>7</v>
      </c>
      <c r="E35">
        <v>3000</v>
      </c>
      <c r="F3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DFAC-BF00-466E-9CCA-F7C9C157521A}">
  <dimension ref="A1:B20"/>
  <sheetViews>
    <sheetView tabSelected="1" workbookViewId="0">
      <selection activeCell="H24" sqref="H24"/>
    </sheetView>
  </sheetViews>
  <sheetFormatPr defaultRowHeight="14.4" x14ac:dyDescent="0.3"/>
  <cols>
    <col min="1" max="1" width="41.44140625" customWidth="1"/>
    <col min="2" max="2" width="25.6640625" customWidth="1"/>
  </cols>
  <sheetData>
    <row r="1" spans="1:2" ht="21" x14ac:dyDescent="0.4">
      <c r="A1" s="6" t="s">
        <v>49</v>
      </c>
      <c r="B1" s="6"/>
    </row>
    <row r="3" spans="1:2" x14ac:dyDescent="0.3">
      <c r="A3" s="5" t="s">
        <v>50</v>
      </c>
      <c r="B3" s="4">
        <f>SUMIF('Expense Tracker'!D:D,"Income",'Expense Tracker'!E:E)</f>
        <v>18500</v>
      </c>
    </row>
    <row r="4" spans="1:2" x14ac:dyDescent="0.3">
      <c r="A4" s="3" t="s">
        <v>51</v>
      </c>
      <c r="B4" s="4">
        <f>SUMIF('Expense Tracker'!D:D,"Expense",'Expense Tracker'!E:E)</f>
        <v>11621</v>
      </c>
    </row>
    <row r="5" spans="1:2" x14ac:dyDescent="0.3">
      <c r="A5" s="3" t="s">
        <v>52</v>
      </c>
      <c r="B5" s="4">
        <f>B3-B4</f>
        <v>6879</v>
      </c>
    </row>
    <row r="6" spans="1:2" x14ac:dyDescent="0.3">
      <c r="A6" s="3" t="s">
        <v>53</v>
      </c>
      <c r="B6" s="7">
        <f>IFERROR(B5/B3,0)</f>
        <v>0.37183783783783786</v>
      </c>
    </row>
    <row r="8" spans="1:2" x14ac:dyDescent="0.3">
      <c r="A8" s="3" t="s">
        <v>54</v>
      </c>
      <c r="B8" s="3" t="s">
        <v>55</v>
      </c>
    </row>
    <row r="9" spans="1:2" x14ac:dyDescent="0.3">
      <c r="A9" s="3" t="s">
        <v>13</v>
      </c>
      <c r="B9" s="4">
        <f>SUMIFS('Expense Tracker'!E:E,'Expense Tracker'!C:C,A9,'Expense Tracker'!D:D,"Expense")</f>
        <v>1225</v>
      </c>
    </row>
    <row r="10" spans="1:2" x14ac:dyDescent="0.3">
      <c r="A10" s="3" t="s">
        <v>10</v>
      </c>
      <c r="B10" s="4">
        <f>SUMIFS('Expense Tracker'!E:E,'Expense Tracker'!C:C,A10,'Expense Tracker'!D:D,"Expense")</f>
        <v>6250</v>
      </c>
    </row>
    <row r="11" spans="1:2" x14ac:dyDescent="0.3">
      <c r="A11" s="3" t="s">
        <v>16</v>
      </c>
      <c r="B11" s="4">
        <f>SUMIFS('Expense Tracker'!E:E,'Expense Tracker'!C:C,A11,'Expense Tracker'!D:D,"Expense")</f>
        <v>770</v>
      </c>
    </row>
    <row r="12" spans="1:2" x14ac:dyDescent="0.3">
      <c r="A12" s="3" t="s">
        <v>22</v>
      </c>
      <c r="B12" s="4">
        <f>SUMIFS('Expense Tracker'!E:E,'Expense Tracker'!C:C,A12,'Expense Tracker'!D:D,"Expense")</f>
        <v>969</v>
      </c>
    </row>
    <row r="13" spans="1:2" x14ac:dyDescent="0.3">
      <c r="A13" s="3" t="s">
        <v>19</v>
      </c>
      <c r="B13" s="4">
        <f>SUMIFS('Expense Tracker'!E:E,'Expense Tracker'!C:C,A13,'Expense Tracker'!D:D,"Expense")</f>
        <v>498</v>
      </c>
    </row>
    <row r="14" spans="1:2" x14ac:dyDescent="0.3">
      <c r="A14" s="3" t="s">
        <v>28</v>
      </c>
      <c r="B14" s="4">
        <f>SUMIFS('Expense Tracker'!E:E,'Expense Tracker'!C:C,A14,'Expense Tracker'!D:D,"Expense")</f>
        <v>700</v>
      </c>
    </row>
    <row r="15" spans="1:2" x14ac:dyDescent="0.3">
      <c r="A15" s="3" t="s">
        <v>26</v>
      </c>
      <c r="B15" s="4">
        <f>SUMIFS('Expense Tracker'!E:E,'Expense Tracker'!C:C,A15,'Expense Tracker'!D:D,"Expense")</f>
        <v>430</v>
      </c>
    </row>
    <row r="16" spans="1:2" x14ac:dyDescent="0.3">
      <c r="A16" s="3" t="s">
        <v>40</v>
      </c>
      <c r="B16" s="4">
        <f>SUMIFS('Expense Tracker'!E:E,'Expense Tracker'!C:C,A16,'Expense Tracker'!D:D,"Expense")</f>
        <v>599</v>
      </c>
    </row>
    <row r="17" spans="1:2" x14ac:dyDescent="0.3">
      <c r="A17" s="3" t="s">
        <v>45</v>
      </c>
      <c r="B17" s="4">
        <f>SUMIFS('Expense Tracker'!E:E,'Expense Tracker'!C:C,A17,'Expense Tracker'!D:D,"Expense")</f>
        <v>180</v>
      </c>
    </row>
    <row r="19" spans="1:2" x14ac:dyDescent="0.3">
      <c r="A19" s="5" t="s">
        <v>61</v>
      </c>
      <c r="B19" s="4">
        <v>3000</v>
      </c>
    </row>
    <row r="20" spans="1:2" x14ac:dyDescent="0.3">
      <c r="A20" s="5" t="s">
        <v>62</v>
      </c>
      <c r="B20" s="3" t="str">
        <f>IF(B5&gt;=B19,"GOAL ACHIEVED","KEEP SAVING")</f>
        <v>GOAL ACHIEVED</v>
      </c>
    </row>
  </sheetData>
  <mergeCells count="1">
    <mergeCell ref="A1:B1"/>
  </mergeCells>
  <conditionalFormatting sqref="B5">
    <cfRule type="cellIs" dxfId="6" priority="4" operator="greaterThan">
      <formula>0</formula>
    </cfRule>
    <cfRule type="cellIs" dxfId="5" priority="3" operator="lessThan">
      <formula>0</formula>
    </cfRule>
  </conditionalFormatting>
  <conditionalFormatting sqref="B20">
    <cfRule type="containsText" dxfId="0" priority="2" operator="containsText" text="GOAL ACHIEVED">
      <formula>NOT(ISERROR(SEARCH("GOAL ACHIEVED",B20)))</formula>
    </cfRule>
    <cfRule type="containsText" dxfId="1" priority="1" operator="containsText" text="KEEP SAVING">
      <formula>NOT(ISERROR(SEARCH("KEEP SAVING",B20)))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5EA9-F595-496A-9DD4-9E72C0BC3432}">
  <dimension ref="A1:E10"/>
  <sheetViews>
    <sheetView workbookViewId="0">
      <selection activeCell="G9" sqref="G9"/>
    </sheetView>
  </sheetViews>
  <sheetFormatPr defaultRowHeight="14.4" x14ac:dyDescent="0.3"/>
  <cols>
    <col min="1" max="1" width="23.6640625" customWidth="1"/>
    <col min="2" max="2" width="28.5546875" customWidth="1"/>
    <col min="3" max="3" width="22.77734375" customWidth="1"/>
    <col min="4" max="4" width="17.77734375" customWidth="1"/>
    <col min="5" max="5" width="25.21875" customWidth="1"/>
  </cols>
  <sheetData>
    <row r="1" spans="1:5" x14ac:dyDescent="0.3">
      <c r="A1" t="s">
        <v>2</v>
      </c>
      <c r="B1" s="2" t="s">
        <v>56</v>
      </c>
      <c r="C1" s="2" t="s">
        <v>58</v>
      </c>
      <c r="D1" t="s">
        <v>59</v>
      </c>
      <c r="E1" t="s">
        <v>60</v>
      </c>
    </row>
    <row r="2" spans="1:5" x14ac:dyDescent="0.3">
      <c r="A2" t="s">
        <v>13</v>
      </c>
      <c r="B2" s="2">
        <v>3000</v>
      </c>
      <c r="C2" s="2">
        <f>SUMIFS('Expense Tracker'!E:E,'Expense Tracker'!C:C,A2,'Expense Tracker'!D:D,"Expense")</f>
        <v>1225</v>
      </c>
      <c r="D2" t="str">
        <f>IF(C2&gt;B2,"OVER BUDGET",IF(C2=B2,"BUDGET USED","WITHIN BUDGET"))</f>
        <v>WITHIN BUDGET</v>
      </c>
      <c r="E2" s="2">
        <f t="shared" ref="E2:E10" si="0">B2-C2</f>
        <v>1775</v>
      </c>
    </row>
    <row r="3" spans="1:5" x14ac:dyDescent="0.3">
      <c r="A3" t="s">
        <v>57</v>
      </c>
      <c r="B3" s="2">
        <v>6500</v>
      </c>
      <c r="C3" s="2">
        <f>SUMIFS('Expense Tracker'!E:E,'Expense Tracker'!C:C,A3,'Expense Tracker'!D:D,"Expense")</f>
        <v>0</v>
      </c>
      <c r="D3" t="str">
        <f t="shared" ref="D3:D10" si="1">IF(C3&gt;B3,"OVER BUDGET",IF(C3=B3,"BUDGET USED","WITHIN BUDGET"))</f>
        <v>WITHIN BUDGET</v>
      </c>
      <c r="E3" s="2">
        <f t="shared" si="0"/>
        <v>6500</v>
      </c>
    </row>
    <row r="4" spans="1:5" x14ac:dyDescent="0.3">
      <c r="A4" t="s">
        <v>16</v>
      </c>
      <c r="B4" s="2">
        <v>1000</v>
      </c>
      <c r="C4" s="2">
        <f>SUMIFS('Expense Tracker'!E:E,'Expense Tracker'!C:C,A4,'Expense Tracker'!D:D,"Expense")</f>
        <v>770</v>
      </c>
      <c r="D4" t="str">
        <f t="shared" si="1"/>
        <v>WITHIN BUDGET</v>
      </c>
      <c r="E4" s="2">
        <f t="shared" si="0"/>
        <v>230</v>
      </c>
    </row>
    <row r="5" spans="1:5" x14ac:dyDescent="0.3">
      <c r="A5" t="s">
        <v>22</v>
      </c>
      <c r="B5" s="2">
        <v>1000</v>
      </c>
      <c r="C5" s="2">
        <f>SUMIFS('Expense Tracker'!E:E,'Expense Tracker'!C:C,A5,'Expense Tracker'!D:D,"Expense")</f>
        <v>969</v>
      </c>
      <c r="D5" t="str">
        <f t="shared" si="1"/>
        <v>WITHIN BUDGET</v>
      </c>
      <c r="E5" s="2">
        <f t="shared" si="0"/>
        <v>31</v>
      </c>
    </row>
    <row r="6" spans="1:5" x14ac:dyDescent="0.3">
      <c r="A6" t="s">
        <v>19</v>
      </c>
      <c r="B6" s="2">
        <v>500</v>
      </c>
      <c r="C6" s="2">
        <f>SUMIFS('Expense Tracker'!E:E,'Expense Tracker'!C:C,A6,'Expense Tracker'!D:D,"Expense")</f>
        <v>498</v>
      </c>
      <c r="D6" t="str">
        <f t="shared" si="1"/>
        <v>WITHIN BUDGET</v>
      </c>
      <c r="E6" s="2">
        <f t="shared" si="0"/>
        <v>2</v>
      </c>
    </row>
    <row r="7" spans="1:5" x14ac:dyDescent="0.3">
      <c r="A7" t="s">
        <v>28</v>
      </c>
      <c r="B7" s="2">
        <v>800</v>
      </c>
      <c r="C7" s="2">
        <f>SUMIFS('Expense Tracker'!E:E,'Expense Tracker'!C:C,A7,'Expense Tracker'!D:D,"Expense")</f>
        <v>700</v>
      </c>
      <c r="D7" t="str">
        <f t="shared" si="1"/>
        <v>WITHIN BUDGET</v>
      </c>
      <c r="E7" s="2">
        <f t="shared" si="0"/>
        <v>100</v>
      </c>
    </row>
    <row r="8" spans="1:5" x14ac:dyDescent="0.3">
      <c r="A8" t="s">
        <v>26</v>
      </c>
      <c r="B8" s="2">
        <v>500</v>
      </c>
      <c r="C8" s="2">
        <f>SUMIFS('Expense Tracker'!E:E,'Expense Tracker'!C:C,A8,'Expense Tracker'!D:D,"Expense")</f>
        <v>430</v>
      </c>
      <c r="D8" t="str">
        <f t="shared" si="1"/>
        <v>WITHIN BUDGET</v>
      </c>
      <c r="E8" s="2">
        <f t="shared" si="0"/>
        <v>70</v>
      </c>
    </row>
    <row r="9" spans="1:5" x14ac:dyDescent="0.3">
      <c r="A9" t="s">
        <v>40</v>
      </c>
      <c r="B9" s="2">
        <v>500</v>
      </c>
      <c r="C9" s="2">
        <f>SUMIFS('Expense Tracker'!E:E,'Expense Tracker'!C:C,A9,'Expense Tracker'!D:D,"Expense")</f>
        <v>599</v>
      </c>
      <c r="D9" t="str">
        <f t="shared" si="1"/>
        <v>OVER BUDGET</v>
      </c>
      <c r="E9" s="2">
        <f t="shared" si="0"/>
        <v>-99</v>
      </c>
    </row>
    <row r="10" spans="1:5" x14ac:dyDescent="0.3">
      <c r="A10" t="s">
        <v>45</v>
      </c>
      <c r="B10" s="2">
        <v>500</v>
      </c>
      <c r="C10" s="2">
        <f>SUMIFS('Expense Tracker'!E:E,'Expense Tracker'!C:C,A10,'Expense Tracker'!D:D,"Expense")</f>
        <v>180</v>
      </c>
      <c r="D10" t="str">
        <f t="shared" si="1"/>
        <v>WITHIN BUDGET</v>
      </c>
      <c r="E10" s="2">
        <f t="shared" si="0"/>
        <v>320</v>
      </c>
    </row>
  </sheetData>
  <conditionalFormatting sqref="D2:D10">
    <cfRule type="containsText" dxfId="10" priority="2" operator="containsText" text="OVER BUDGET">
      <formula>NOT(ISERROR(SEARCH("OVER BUDGET",D2)))</formula>
    </cfRule>
    <cfRule type="containsText" dxfId="11" priority="1" operator="containsText" text="WITHIN BUDGET">
      <formula>NOT(ISERROR(SEARCH("WITHIN BUDGET",D2)))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6F9CF790D43F4A89B2445AC0D30480" ma:contentTypeVersion="1" ma:contentTypeDescription="Create a new document." ma:contentTypeScope="" ma:versionID="eb0c5e68d15c9b65a8d7d82146158ff2">
  <xsd:schema xmlns:xsd="http://www.w3.org/2001/XMLSchema" xmlns:xs="http://www.w3.org/2001/XMLSchema" xmlns:p="http://schemas.microsoft.com/office/2006/metadata/properties" xmlns:ns3="6cda323c-bab7-4c15-b911-3cd80b915cda" targetNamespace="http://schemas.microsoft.com/office/2006/metadata/properties" ma:root="true" ma:fieldsID="fa879ee3dc367a79794032802a884040" ns3:_="">
    <xsd:import namespace="6cda323c-bab7-4c15-b911-3cd80b915c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323c-bab7-4c15-b911-3cd80b915c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A95F14-0C62-4732-8532-02AD1BFAF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da323c-bab7-4c15-b911-3cd80b915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BE38E-DE2B-41A0-866F-8D8D4093B2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20E120-F0C2-4357-8BF8-FFBAF9D9BFEE}">
  <ds:schemaRefs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cda323c-bab7-4c15-b911-3cd80b915cd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Tracker</vt:lpstr>
      <vt:lpstr>Summary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</cp:lastModifiedBy>
  <dcterms:created xsi:type="dcterms:W3CDTF">2026-10-24T12:22:16Z</dcterms:created>
  <dcterms:modified xsi:type="dcterms:W3CDTF">2026-10-24T19:07:24Z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0x0101004B6F9CF790D43F4A89B2445AC0D30480</vt:lpwstr>
  </property>
</Properties>
</file>